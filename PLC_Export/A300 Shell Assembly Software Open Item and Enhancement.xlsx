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3620\source\repos\Entegris-A300\PLC_Export\"/>
    </mc:Choice>
  </mc:AlternateContent>
  <xr:revisionPtr revIDLastSave="0" documentId="13_ncr:1_{7697B8EB-12C5-46B0-9F2D-F198BC474E7D}" xr6:coauthVersionLast="47" xr6:coauthVersionMax="47" xr10:uidLastSave="{00000000-0000-0000-0000-000000000000}"/>
  <bookViews>
    <workbookView xWindow="-108" yWindow="-108" windowWidth="23256" windowHeight="13896" xr2:uid="{00000000-000D-0000-FFFF-FFFF00000000}"/>
  </bookViews>
  <sheets>
    <sheet name="Machine Issue List" sheetId="2" r:id="rId1"/>
    <sheet name="Lists" sheetId="3" state="hidden" r:id="rId2"/>
  </sheets>
  <definedNames>
    <definedName name="_xlnm.Print_Titles" localSheetId="0">'Machine Issue List'!$1:$1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6" i="2" l="1"/>
  <c r="A17" i="2"/>
  <c r="A18" i="2"/>
  <c r="A19" i="2"/>
  <c r="A20" i="2"/>
  <c r="A21" i="2"/>
  <c r="A22" i="2"/>
  <c r="A23" i="2"/>
  <c r="A24" i="2"/>
  <c r="A25" i="2"/>
  <c r="A26"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alcChain>
</file>

<file path=xl/sharedStrings.xml><?xml version="1.0" encoding="utf-8"?>
<sst xmlns="http://schemas.openxmlformats.org/spreadsheetml/2006/main" count="111" uniqueCount="81">
  <si>
    <t>Issue ID</t>
  </si>
  <si>
    <t>Machine / Module</t>
  </si>
  <si>
    <t>Issue Category</t>
  </si>
  <si>
    <t>Customer Feedback</t>
  </si>
  <si>
    <t>Impact / Risk</t>
  </si>
  <si>
    <t>Priority</t>
  </si>
  <si>
    <t>Status</t>
  </si>
  <si>
    <t>Electrical</t>
  </si>
  <si>
    <t>High</t>
  </si>
  <si>
    <t>PLC / Software</t>
  </si>
  <si>
    <t>Medium</t>
  </si>
  <si>
    <t>Cycle Time</t>
  </si>
  <si>
    <t>Confirmation</t>
  </si>
  <si>
    <t>Category</t>
  </si>
  <si>
    <t>Low</t>
  </si>
  <si>
    <t>Open</t>
  </si>
  <si>
    <t>Pending</t>
  </si>
  <si>
    <t>In Progress</t>
  </si>
  <si>
    <t>Accepted</t>
  </si>
  <si>
    <t>Mechanical</t>
  </si>
  <si>
    <t>Monitoring</t>
  </si>
  <si>
    <t>Rejected</t>
  </si>
  <si>
    <t>Critical</t>
  </si>
  <si>
    <t>Waiting for Customer</t>
  </si>
  <si>
    <t>Further Action Required</t>
  </si>
  <si>
    <t>HMI</t>
  </si>
  <si>
    <t>Waiting for Vendor</t>
  </si>
  <si>
    <t>Sensor / Instrument</t>
  </si>
  <si>
    <t>Closed</t>
  </si>
  <si>
    <t>Pneumatic</t>
  </si>
  <si>
    <t>On Hold</t>
  </si>
  <si>
    <t>Safety</t>
  </si>
  <si>
    <t>Quality</t>
  </si>
  <si>
    <t>Other</t>
  </si>
  <si>
    <t>Remarks</t>
  </si>
  <si>
    <t>A300 Shell Assembly</t>
  </si>
  <si>
    <t>Issue/Enhancement Description</t>
  </si>
  <si>
    <t>Machine Recipe Management</t>
  </si>
  <si>
    <t>MT_001</t>
  </si>
  <si>
    <t>MT_002</t>
  </si>
  <si>
    <t>MT_003</t>
  </si>
  <si>
    <t>MT_004</t>
  </si>
  <si>
    <t>MT_005</t>
  </si>
  <si>
    <t>MT_006</t>
  </si>
  <si>
    <t>MT_007</t>
  </si>
  <si>
    <t>MT_008</t>
  </si>
  <si>
    <t>Robot Page to included in HMI page</t>
  </si>
  <si>
    <t>1. Robot only can be access through Teach Pendant and will need to open machine door bottom Panel door to access.
2. Automation team prefer to prohibited access to Teach Pendant due to possible misused and prevent programming or source code been access by others.
3. Current ways of teaching point using Teach Pendant might leads to wrong teach and will lead to longer down time.</t>
  </si>
  <si>
    <t>Shell CSV file</t>
  </si>
  <si>
    <t>1. Current machine don't have specific data trace for shell that have been processed.
2. Current Data mixed up the overall data and difficult to segregate between each Shell that have been run.
3. These Data are importants for Automation team to monitor the machine performance and perform enhancement accordingly.</t>
  </si>
  <si>
    <t>Lot ID and Recipe Management</t>
  </si>
  <si>
    <t>Add Initialize Button on HMI</t>
  </si>
  <si>
    <t>1. Current machine need users to press engineering button first before Initialize can be done by press Start Button.
2. This will leads to confusion for users and  wrong step taken to initialize the machine.</t>
  </si>
  <si>
    <t>Prompt Pop up Message when User attempt to Perform Hard Reset</t>
  </si>
  <si>
    <t>Robot Initialized Sequence</t>
  </si>
  <si>
    <t>1. Robot to flush the screw on Shell and will lead to cosmetics issues.
2. Robot should move to standby/home point before flushing the screw.</t>
  </si>
  <si>
    <t>Remove Top Clamp Sequence</t>
  </si>
  <si>
    <t xml:space="preserve">Current machine having Top Clamp where cylinders are uses to clamp the Shell for alignment purpose. After monitoring, We decide to exclude the Top Clamp Sequence as we believe Top Clamp don’t contribute to Shell Alignments and working well without it. </t>
  </si>
  <si>
    <t>1. Reduce cycle time and improve machine performance.</t>
  </si>
  <si>
    <t>MT_009</t>
  </si>
  <si>
    <t>MT_010</t>
  </si>
  <si>
    <t>Error Message to prompt Spare Error</t>
  </si>
  <si>
    <t>1. All Errors and Warnings mapped to the machine must prompt correctly on HMI to prevent longer down time for troubleshootings.</t>
  </si>
  <si>
    <t>Machine required multiple time to access Left/Right start button before machine run</t>
  </si>
  <si>
    <t>Machine sometime need users to trigger machine to start running. Operator tends to confuse when same action need to be done twice even instructions have been followed from HMI.</t>
  </si>
  <si>
    <t>1. User need to press start mutiple time eventhough instruction on HMI have been fullfil.</t>
  </si>
  <si>
    <t>1. Current conditions for Hard Reset is confusing and took some time to initiated. 
2. Operator tends to take away the Shell when there is something wrong happen to the machine and  not able to fullfil the conditions for hard reset.
3. No indicator are shown when Hard reset is initiated.</t>
  </si>
  <si>
    <t>1. Lot ID will be use to trace back quantity of Shell process.
2. Lot ID will be use for communicating with camLine.</t>
  </si>
  <si>
    <r>
      <t xml:space="preserve">HMI/PLC to provide a log file for each of Shell process, Including :
</t>
    </r>
    <r>
      <rPr>
        <b/>
        <sz val="11"/>
        <color theme="1"/>
        <rFont val="Calibri"/>
        <family val="2"/>
      </rPr>
      <t xml:space="preserve">- Barcode
- Torque Data
- Result
- Result remedy
</t>
    </r>
    <r>
      <rPr>
        <sz val="11"/>
        <color theme="1"/>
        <rFont val="Calibri"/>
        <family val="2"/>
      </rPr>
      <t xml:space="preserve">
The data need to be log for every </t>
    </r>
    <r>
      <rPr>
        <b/>
        <sz val="11"/>
        <color theme="1"/>
        <rFont val="Calibri"/>
        <family val="2"/>
      </rPr>
      <t>"New Lot"</t>
    </r>
    <r>
      <rPr>
        <sz val="11"/>
        <color theme="1"/>
        <rFont val="Calibri"/>
        <family val="2"/>
      </rPr>
      <t xml:space="preserve"> created and will be save on the HMI PC in Folder " Lot ID Number ". New Lot Id will create new folder.</t>
    </r>
  </si>
  <si>
    <r>
      <t xml:space="preserve">Machine need to have </t>
    </r>
    <r>
      <rPr>
        <b/>
        <sz val="11"/>
        <color theme="1"/>
        <rFont val="Calibri"/>
        <family val="2"/>
      </rPr>
      <t>Lot ID, Operator ID, Quantity</t>
    </r>
    <r>
      <rPr>
        <sz val="11"/>
        <color theme="1"/>
        <rFont val="Calibri"/>
        <family val="2"/>
      </rPr>
      <t xml:space="preserve"> and</t>
    </r>
    <r>
      <rPr>
        <b/>
        <sz val="11"/>
        <color theme="1"/>
        <rFont val="Calibri"/>
        <family val="2"/>
      </rPr>
      <t xml:space="preserve"> Recipe</t>
    </r>
    <r>
      <rPr>
        <sz val="11"/>
        <color theme="1"/>
        <rFont val="Calibri"/>
        <family val="2"/>
      </rPr>
      <t xml:space="preserve"> before able to run.Machine need to </t>
    </r>
    <r>
      <rPr>
        <b/>
        <sz val="11"/>
        <color theme="1"/>
        <rFont val="Calibri"/>
        <family val="2"/>
      </rPr>
      <t>intialize</t>
    </r>
    <r>
      <rPr>
        <sz val="11"/>
        <color theme="1"/>
        <rFont val="Calibri"/>
        <family val="2"/>
      </rPr>
      <t xml:space="preserve"> after New Lot is created. </t>
    </r>
    <r>
      <rPr>
        <b/>
        <sz val="11"/>
        <color theme="1"/>
        <rFont val="Calibri"/>
        <family val="2"/>
      </rPr>
      <t>Machine Init Done bit</t>
    </r>
    <r>
      <rPr>
        <sz val="11"/>
        <color theme="1"/>
        <rFont val="Calibri"/>
        <family val="2"/>
      </rPr>
      <t xml:space="preserve"> need to be </t>
    </r>
    <r>
      <rPr>
        <b/>
        <sz val="11"/>
        <color theme="1"/>
        <rFont val="Calibri"/>
        <family val="2"/>
      </rPr>
      <t>off</t>
    </r>
    <r>
      <rPr>
        <sz val="11"/>
        <color theme="1"/>
        <rFont val="Calibri"/>
        <family val="2"/>
      </rPr>
      <t xml:space="preserve"> when user press </t>
    </r>
    <r>
      <rPr>
        <b/>
        <sz val="11"/>
        <color theme="1"/>
        <rFont val="Calibri"/>
        <family val="2"/>
      </rPr>
      <t>"End Lot"</t>
    </r>
    <r>
      <rPr>
        <sz val="11"/>
        <color theme="1"/>
        <rFont val="Calibri"/>
        <family val="2"/>
      </rPr>
      <t xml:space="preserve"> Button. </t>
    </r>
  </si>
  <si>
    <r>
      <t xml:space="preserve">HMI Main Page need to include </t>
    </r>
    <r>
      <rPr>
        <b/>
        <sz val="11"/>
        <color theme="1"/>
        <rFont val="Calibri"/>
        <family val="2"/>
      </rPr>
      <t>Initialize Button</t>
    </r>
    <r>
      <rPr>
        <sz val="11"/>
        <color theme="1"/>
        <rFont val="Calibri"/>
        <family val="2"/>
      </rPr>
      <t xml:space="preserve"> for users to initialize the machine when anythings goes wrong.</t>
    </r>
  </si>
  <si>
    <r>
      <t xml:space="preserve">Machine have a </t>
    </r>
    <r>
      <rPr>
        <b/>
        <sz val="11"/>
        <color theme="1"/>
        <rFont val="Calibri"/>
        <family val="2"/>
      </rPr>
      <t>Hard reset</t>
    </r>
    <r>
      <rPr>
        <sz val="11"/>
        <color theme="1"/>
        <rFont val="Calibri"/>
        <family val="2"/>
      </rPr>
      <t xml:space="preserve"> function where users need to press reset for 10s before hard reset is activated. Shell also must be presence inside the machine and machine must be in running mode.
</t>
    </r>
    <r>
      <rPr>
        <b/>
        <sz val="11"/>
        <color theme="1"/>
        <rFont val="Calibri"/>
        <family val="2"/>
      </rPr>
      <t>Hard Reset</t>
    </r>
    <r>
      <rPr>
        <sz val="11"/>
        <color theme="1"/>
        <rFont val="Calibri"/>
        <family val="2"/>
      </rPr>
      <t xml:space="preserve"> should be able to perform at </t>
    </r>
    <r>
      <rPr>
        <b/>
        <sz val="11"/>
        <color theme="1"/>
        <rFont val="Calibri"/>
        <family val="2"/>
      </rPr>
      <t>any conditions</t>
    </r>
    <r>
      <rPr>
        <sz val="11"/>
        <color theme="1"/>
        <rFont val="Calibri"/>
        <family val="2"/>
      </rPr>
      <t xml:space="preserve"> of the machine and a pop up should prompt for user to choose either </t>
    </r>
    <r>
      <rPr>
        <b/>
        <sz val="11"/>
        <color theme="1"/>
        <rFont val="Calibri"/>
        <family val="2"/>
      </rPr>
      <t>Proceed</t>
    </r>
    <r>
      <rPr>
        <sz val="11"/>
        <color theme="1"/>
        <rFont val="Calibri"/>
        <family val="2"/>
      </rPr>
      <t xml:space="preserve"> or </t>
    </r>
    <r>
      <rPr>
        <b/>
        <sz val="11"/>
        <color theme="1"/>
        <rFont val="Calibri"/>
        <family val="2"/>
      </rPr>
      <t>Cancel</t>
    </r>
    <r>
      <rPr>
        <sz val="11"/>
        <color theme="1"/>
        <rFont val="Calibri"/>
        <family val="2"/>
      </rPr>
      <t>. Reduce the timer to</t>
    </r>
    <r>
      <rPr>
        <b/>
        <sz val="11"/>
        <color theme="1"/>
        <rFont val="Calibri"/>
        <family val="2"/>
      </rPr>
      <t xml:space="preserve"> 5s</t>
    </r>
    <r>
      <rPr>
        <sz val="11"/>
        <color theme="1"/>
        <rFont val="Calibri"/>
        <family val="2"/>
      </rPr>
      <t xml:space="preserve"> instead of 10s without machine need to be in certain state before able to initiated Hard Reset.</t>
    </r>
  </si>
  <si>
    <r>
      <t xml:space="preserve">Robot initialized sequence will make robot to </t>
    </r>
    <r>
      <rPr>
        <b/>
        <sz val="11"/>
        <color theme="1"/>
        <rFont val="Calibri"/>
        <family val="2"/>
      </rPr>
      <t>flush out screw</t>
    </r>
    <r>
      <rPr>
        <sz val="11"/>
        <color theme="1"/>
        <rFont val="Calibri"/>
        <family val="2"/>
      </rPr>
      <t xml:space="preserve">. After monitoring, robot tends to flush out screw at </t>
    </r>
    <r>
      <rPr>
        <b/>
        <sz val="11"/>
        <color theme="1"/>
        <rFont val="Calibri"/>
        <family val="2"/>
      </rPr>
      <t>any places</t>
    </r>
    <r>
      <rPr>
        <sz val="11"/>
        <color theme="1"/>
        <rFont val="Calibri"/>
        <family val="2"/>
      </rPr>
      <t xml:space="preserve"> instead of flushing at desinated place.</t>
    </r>
  </si>
  <si>
    <r>
      <t xml:space="preserve">Some error message </t>
    </r>
    <r>
      <rPr>
        <b/>
        <sz val="11"/>
        <color theme="1"/>
        <rFont val="Calibri"/>
        <family val="2"/>
      </rPr>
      <t>not prompt the actual message</t>
    </r>
    <r>
      <rPr>
        <sz val="11"/>
        <color theme="1"/>
        <rFont val="Calibri"/>
        <family val="2"/>
      </rPr>
      <t xml:space="preserve"> and lead to confusions</t>
    </r>
  </si>
  <si>
    <r>
      <t xml:space="preserve">HMI required to have Robot page for users to control, teach point, and reset Robot module.
- Robot Page need to have button to </t>
    </r>
    <r>
      <rPr>
        <b/>
        <sz val="11"/>
        <color theme="1"/>
        <rFont val="Calibri"/>
        <family val="2"/>
      </rPr>
      <t>Start, Stop, Reset robot, Speed Change, Run, Pause</t>
    </r>
    <r>
      <rPr>
        <sz val="11"/>
        <color theme="1"/>
        <rFont val="Calibri"/>
        <family val="2"/>
      </rPr>
      <t xml:space="preserve"> and </t>
    </r>
    <r>
      <rPr>
        <b/>
        <sz val="11"/>
        <color theme="1"/>
        <rFont val="Calibri"/>
        <family val="2"/>
      </rPr>
      <t>Save</t>
    </r>
    <r>
      <rPr>
        <sz val="11"/>
        <color theme="1"/>
        <rFont val="Calibri"/>
        <family val="2"/>
      </rPr>
      <t xml:space="preserve">
- Robot Page need to shows current </t>
    </r>
    <r>
      <rPr>
        <b/>
        <sz val="11"/>
        <color theme="1"/>
        <rFont val="Calibri"/>
        <family val="2"/>
      </rPr>
      <t>robot status, robot current axis value</t>
    </r>
    <r>
      <rPr>
        <sz val="11"/>
        <color theme="1"/>
        <rFont val="Calibri"/>
        <family val="2"/>
      </rPr>
      <t xml:space="preserve"> and </t>
    </r>
    <r>
      <rPr>
        <b/>
        <sz val="11"/>
        <color theme="1"/>
        <rFont val="Calibri"/>
        <family val="2"/>
      </rPr>
      <t>robot current point ( such as Home or Standby point)</t>
    </r>
    <r>
      <rPr>
        <sz val="11"/>
        <color theme="1"/>
        <rFont val="Calibri"/>
        <family val="2"/>
      </rPr>
      <t xml:space="preserve">
- Robot page to have button selection for</t>
    </r>
    <r>
      <rPr>
        <b/>
        <sz val="11"/>
        <color theme="1"/>
        <rFont val="Calibri"/>
        <family val="2"/>
      </rPr>
      <t xml:space="preserve"> Move ( prepared a dropdown according to Robot program)</t>
    </r>
    <r>
      <rPr>
        <sz val="11"/>
        <color theme="1"/>
        <rFont val="Calibri"/>
        <family val="2"/>
      </rPr>
      <t xml:space="preserve"> that will let users to move robot to desired point when users attempt to do teach point.
- Robot page need to let user perform</t>
    </r>
    <r>
      <rPr>
        <b/>
        <sz val="11"/>
        <color theme="1"/>
        <rFont val="Calibri"/>
        <family val="2"/>
      </rPr>
      <t xml:space="preserve"> teach point</t>
    </r>
    <r>
      <rPr>
        <sz val="11"/>
        <color theme="1"/>
        <rFont val="Calibri"/>
        <family val="2"/>
      </rPr>
      <t xml:space="preserve"> and the point need to be save in</t>
    </r>
    <r>
      <rPr>
        <b/>
        <sz val="11"/>
        <color theme="1"/>
        <rFont val="Calibri"/>
        <family val="2"/>
      </rPr>
      <t xml:space="preserve"> teach pendant.</t>
    </r>
    <r>
      <rPr>
        <sz val="11"/>
        <color theme="1"/>
        <rFont val="Calibri"/>
        <family val="2"/>
      </rPr>
      <t xml:space="preserve">
- Robot page to let user </t>
    </r>
    <r>
      <rPr>
        <b/>
        <sz val="11"/>
        <color theme="1"/>
        <rFont val="Calibri"/>
        <family val="2"/>
      </rPr>
      <t>jog robot for all axis</t>
    </r>
    <r>
      <rPr>
        <sz val="11"/>
        <color theme="1"/>
        <rFont val="Calibri"/>
        <family val="2"/>
      </rPr>
      <t xml:space="preserve"> and user need to key in value for </t>
    </r>
    <r>
      <rPr>
        <b/>
        <sz val="11"/>
        <color theme="1"/>
        <rFont val="Calibri"/>
        <family val="2"/>
      </rPr>
      <t>robot jog moving</t>
    </r>
    <r>
      <rPr>
        <sz val="11"/>
        <color theme="1"/>
        <rFont val="Calibri"/>
        <family val="2"/>
      </rPr>
      <t>. Value must be in between</t>
    </r>
    <r>
      <rPr>
        <b/>
        <sz val="11"/>
        <color theme="1"/>
        <rFont val="Calibri"/>
        <family val="2"/>
      </rPr>
      <t xml:space="preserve"> 0.01mm to 10.00mm per jog</t>
    </r>
    <r>
      <rPr>
        <sz val="11"/>
        <color theme="1"/>
        <rFont val="Calibri"/>
        <family val="2"/>
      </rPr>
      <t>.</t>
    </r>
  </si>
  <si>
    <r>
      <t>HMI required to have Recipe Page and User able to</t>
    </r>
    <r>
      <rPr>
        <b/>
        <sz val="11"/>
        <color theme="1"/>
        <rFont val="Calibri"/>
        <family val="2"/>
      </rPr>
      <t xml:space="preserve"> Create,Edit</t>
    </r>
    <r>
      <rPr>
        <sz val="11"/>
        <color theme="1"/>
        <rFont val="Calibri"/>
        <family val="2"/>
      </rPr>
      <t xml:space="preserve">, and </t>
    </r>
    <r>
      <rPr>
        <b/>
        <sz val="11"/>
        <color theme="1"/>
        <rFont val="Calibri"/>
        <family val="2"/>
      </rPr>
      <t>Delete Recipe.</t>
    </r>
    <r>
      <rPr>
        <sz val="11"/>
        <color theme="1"/>
        <rFont val="Calibri"/>
        <family val="2"/>
      </rPr>
      <t xml:space="preserve">
- Recipe for </t>
    </r>
    <r>
      <rPr>
        <b/>
        <sz val="11"/>
        <color theme="1"/>
        <rFont val="Calibri"/>
        <family val="2"/>
      </rPr>
      <t xml:space="preserve">EBM, PC Green,PC Amber, PC Red, PC Clear
</t>
    </r>
    <r>
      <rPr>
        <sz val="11"/>
        <color theme="1"/>
        <rFont val="Calibri"/>
        <family val="2"/>
      </rPr>
      <t xml:space="preserve">- Include in </t>
    </r>
    <r>
      <rPr>
        <b/>
        <sz val="11"/>
        <color theme="1"/>
        <rFont val="Calibri"/>
        <family val="2"/>
      </rPr>
      <t>Recipe</t>
    </r>
    <r>
      <rPr>
        <sz val="11"/>
        <color theme="1"/>
        <rFont val="Calibri"/>
        <family val="2"/>
      </rPr>
      <t xml:space="preserve"> :-
</t>
    </r>
    <r>
      <rPr>
        <b/>
        <sz val="11"/>
        <color theme="1"/>
        <rFont val="Calibri"/>
        <family val="2"/>
      </rPr>
      <t xml:space="preserve"> * Robot point
</t>
    </r>
  </si>
  <si>
    <t xml:space="preserve">1. Shell have multiple Part number and Type, which lead to some variants that required specific recipe when production running. No ability to change recipe will impact on shell screwing result, Repeative teach point event and will impact production running.
</t>
  </si>
  <si>
    <t>1. A real recipe page can’t be finished until the robot engineer decides how the robot will store and load a separate set of points for each recipe.</t>
  </si>
  <si>
    <t>Done</t>
  </si>
  <si>
    <r>
      <t>1. FOUP ID</t>
    </r>
    <r>
      <rPr>
        <sz val="11"/>
        <color theme="1"/>
        <rFont val="Calibri"/>
        <family val="2"/>
        <scheme val="minor"/>
      </rPr>
      <t xml:space="preserve"> is empty because nothing in the PLC program ever writes </t>
    </r>
    <r>
      <rPr>
        <sz val="10"/>
        <color theme="1"/>
        <rFont val="Arial Unicode MS"/>
      </rPr>
      <t>EM3050</t>
    </r>
    <r>
      <rPr>
        <sz val="11"/>
        <color theme="1"/>
        <rFont val="Calibri"/>
        <family val="2"/>
        <scheme val="minor"/>
      </rPr>
      <t xml:space="preserve">. The HMI only reads it, to send to CAMLINE, and CAMLINE is bypassed on this machine. The HMI can’t fix this; it needs the PLC team, or a scanner. Until then, files are named </t>
    </r>
    <r>
      <rPr>
        <sz val="10"/>
        <color theme="1"/>
        <rFont val="Arial Unicode MS"/>
      </rPr>
      <t>…_NoFoupID_&lt;time&gt;</t>
    </r>
    <r>
      <rPr>
        <b/>
        <sz val="11"/>
        <color theme="1"/>
        <rFont val="Calibri"/>
        <family val="2"/>
        <scheme val="minor"/>
      </rPr>
      <t xml:space="preserve">
2. Lot ID</t>
    </r>
    <r>
      <rPr>
        <sz val="11"/>
        <color theme="1"/>
        <rFont val="Calibri"/>
        <family val="2"/>
        <scheme val="minor"/>
      </rPr>
      <t xml:space="preserve"> empty causes by the old HMI code read it with length 0, so it always came back empty. That’s fixed now.</t>
    </r>
  </si>
  <si>
    <t>1. For MT_003, the HMI now creates one CSV per shell, named &lt;LotID&gt;_&lt;FoupID&gt;_&lt;Pass|Fail&gt;. The HMI reads the FOUP ID from Foup_Barcode (EM3050, String[20]), but nothing in the current PLC program writes to this address, so it is always empty.
Questions.
1. Source of the FOUP ID: barcode scanner on the machine, operator scan/input, or CAMLINE? If there is a scanner, which device and interface is it?
2. Rework: for a rework shell, will the same FOUP ID be available again (e.g. re-scanned)?
3. Fail result: Overall_Fail (MR49601) is only set when CAMLINE is enabled. Can it be set for every shell that ends without Overall_Pass (step 360, or hard reset / removed shell)? Today the HMI assumes “no Pass = Fail”.
4. Lot ID: please confirm Lot_Info_DB_New_Lot_ID_Str (EM1501) stays valid from New Lot until End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</si>
</sst>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ont>
    <font>
      <sz val="11"/>
      <color theme="1"/>
      <name val="Calibri"/>
    </font>
    <font>
      <sz val="11"/>
      <color theme="1"/>
      <name val="Calibri"/>
      <family val="2"/>
    </font>
    <font>
      <b/>
      <sz val="11"/>
      <color rgb="FFFFFFFF"/>
      <name val="Calibri"/>
      <family val="2"/>
    </font>
    <font>
      <sz val="8"/>
      <name val="Calibri"/>
      <family val="2"/>
      <scheme val="minor"/>
    </font>
    <font>
      <b/>
      <sz val="11"/>
      <color theme="1"/>
      <name val="Calibri"/>
      <family val="2"/>
      <scheme val="minor"/>
    </font>
    <font>
      <b/>
      <sz val="11"/>
      <color theme="1"/>
      <name val="Calibri"/>
      <family val="2"/>
    </font>
    <font>
      <sz val="10"/>
      <color theme="1"/>
      <name val="Arial Unicode MS"/>
    </font>
  </fonts>
  <fills count="4">
    <fill>
      <patternFill patternType="none"/>
    </fill>
    <fill>
      <patternFill patternType="gray125"/>
    </fill>
    <fill>
      <patternFill patternType="solid">
        <fgColor rgb="FF17365D"/>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xf>
    <xf numFmtId="0" fontId="6" fillId="0" borderId="0" xfId="0" applyFont="1"/>
    <xf numFmtId="0" fontId="3" fillId="3" borderId="0" xfId="0" applyFont="1" applyFill="1" applyAlignment="1">
      <alignment vertical="top" wrapText="1"/>
    </xf>
    <xf numFmtId="0" fontId="2" fillId="3" borderId="0" xfId="0" applyFont="1" applyFill="1" applyAlignment="1">
      <alignment vertical="top" wrapText="1"/>
    </xf>
    <xf numFmtId="0" fontId="7" fillId="3" borderId="0" xfId="0" applyFont="1" applyFill="1" applyAlignment="1">
      <alignment vertical="top" wrapText="1"/>
    </xf>
    <xf numFmtId="0" fontId="2" fillId="3" borderId="0" xfId="0" applyFont="1" applyFill="1" applyAlignment="1">
      <alignment horizontal="center" vertical="top" wrapText="1"/>
    </xf>
    <xf numFmtId="0" fontId="0" fillId="3" borderId="0" xfId="0" applyFont="1" applyFill="1"/>
    <xf numFmtId="0" fontId="0" fillId="0" borderId="0" xfId="0" applyAlignment="1">
      <alignment wrapText="1"/>
    </xf>
    <xf numFmtId="0" fontId="6" fillId="0" borderId="0" xfId="0" applyFont="1" applyAlignment="1">
      <alignment wrapText="1"/>
    </xf>
  </cellXfs>
  <cellStyles count="1">
    <cellStyle name="Normal" xfId="0" builtinId="0"/>
  </cellStyles>
  <dxfs count="12">
    <dxf>
      <font>
        <color theme="1"/>
      </font>
      <fill>
        <patternFill patternType="solid">
          <fgColor indexed="64"/>
          <bgColor theme="0"/>
        </patternFill>
      </fill>
    </dxf>
    <dxf>
      <fill>
        <patternFill patternType="solid">
          <fgColor rgb="FFC6EFCE"/>
        </patternFill>
      </fill>
    </dxf>
    <dxf>
      <fill>
        <patternFill patternType="solid">
          <fgColor rgb="FFFFC7CE"/>
        </patternFill>
      </fill>
    </dxf>
    <dxf>
      <font>
        <color theme="1"/>
      </font>
      <fill>
        <patternFill patternType="solid">
          <fgColor indexed="64"/>
          <bgColor theme="0"/>
        </patternFill>
      </fill>
    </dxf>
    <dxf>
      <font>
        <color theme="1"/>
      </font>
      <fill>
        <patternFill patternType="solid">
          <fgColor indexed="64"/>
          <bgColor theme="0"/>
        </patternFill>
      </fill>
      <alignment horizontal="center" textRotation="0" indent="0" justifyLastLine="0" shrinkToFit="0" readingOrder="0"/>
    </dxf>
    <dxf>
      <font>
        <color theme="1"/>
      </font>
      <fill>
        <patternFill patternType="solid">
          <fgColor indexed="64"/>
          <bgColor theme="0"/>
        </patternFill>
      </fill>
    </dxf>
    <dxf>
      <font>
        <color theme="1"/>
      </font>
      <fill>
        <patternFill patternType="solid">
          <fgColor indexed="64"/>
          <bgColor theme="0"/>
        </patternFill>
      </fill>
    </dxf>
    <dxf>
      <font>
        <b/>
        <color theme="1"/>
        <family val="2"/>
      </font>
      <fill>
        <patternFill patternType="solid">
          <fgColor indexed="64"/>
          <bgColor theme="0"/>
        </patternFill>
      </fill>
    </dxf>
    <dxf>
      <font>
        <color theme="1"/>
      </font>
      <fill>
        <patternFill patternType="solid">
          <fgColor indexed="64"/>
          <bgColor theme="0"/>
        </patternFill>
      </fill>
    </dxf>
    <dxf>
      <font>
        <color theme="1"/>
      </font>
      <fill>
        <patternFill patternType="solid">
          <fgColor indexed="64"/>
          <bgColor theme="0"/>
        </patternFill>
      </fill>
    </dxf>
    <dxf>
      <font>
        <b/>
        <color theme="1"/>
        <family val="2"/>
      </font>
      <fill>
        <patternFill patternType="solid">
          <fgColor indexed="64"/>
          <bgColor theme="0"/>
        </patternFill>
      </fill>
    </dxf>
    <dxf>
      <font>
        <color theme="1"/>
      </font>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chineIssueTable" displayName="MachineIssueTable" ref="A1:I101" dataDxfId="11">
  <autoFilter ref="A1:I101" xr:uid="{00000000-0009-0000-0100-000001000000}"/>
  <tableColumns count="9">
    <tableColumn id="1" xr3:uid="{00000000-0010-0000-0000-000001000000}" name="Issue ID" dataDxfId="10"/>
    <tableColumn id="3" xr3:uid="{00000000-0010-0000-0000-000003000000}" name="Machine / Module" dataDxfId="9"/>
    <tableColumn id="4" xr3:uid="{00000000-0010-0000-0000-000004000000}" name="Issue Category" dataDxfId="8"/>
    <tableColumn id="5" xr3:uid="{00000000-0010-0000-0000-000005000000}" name="Issue/Enhancement Description" dataDxfId="7"/>
    <tableColumn id="6" xr3:uid="{00000000-0010-0000-0000-000006000000}" name="Customer Feedback" dataDxfId="6"/>
    <tableColumn id="7" xr3:uid="{00000000-0010-0000-0000-000007000000}" name="Impact / Risk" dataDxfId="5"/>
    <tableColumn id="8" xr3:uid="{00000000-0010-0000-0000-000008000000}" name="Priority" dataDxfId="4"/>
    <tableColumn id="11" xr3:uid="{00000000-0010-0000-0000-00000B000000}" name="Remarks" dataDxfId="3"/>
    <tableColumn id="2" xr3:uid="{8536110E-FAC2-401A-99BB-CAC98BBD6075}" name="Do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1"/>
  <sheetViews>
    <sheetView showGridLines="0" tabSelected="1" topLeftCell="E1" zoomScale="85" zoomScaleNormal="85" workbookViewId="0">
      <pane ySplit="1" topLeftCell="A2" activePane="bottomLeft" state="frozen"/>
      <selection pane="bottomLeft" activeCell="M4" sqref="M4"/>
    </sheetView>
  </sheetViews>
  <sheetFormatPr defaultRowHeight="14.4"/>
  <cols>
    <col min="1" max="1" width="12" style="4" customWidth="1"/>
    <col min="2" max="2" width="24" customWidth="1"/>
    <col min="3" max="3" width="20" customWidth="1"/>
    <col min="4" max="4" width="38" style="4" customWidth="1"/>
    <col min="5" max="5" width="90.33203125" bestFit="1" customWidth="1"/>
    <col min="6" max="6" width="78.33203125" customWidth="1"/>
    <col min="7" max="7" width="12" style="3" customWidth="1"/>
    <col min="8" max="8" width="50.77734375" customWidth="1"/>
    <col min="9" max="9" width="47.5546875" customWidth="1"/>
  </cols>
  <sheetData>
    <row r="1" spans="1:11" ht="38.1" customHeight="1">
      <c r="A1" s="2" t="s">
        <v>0</v>
      </c>
      <c r="B1" s="1" t="s">
        <v>1</v>
      </c>
      <c r="C1" s="1" t="s">
        <v>2</v>
      </c>
      <c r="D1" s="2" t="s">
        <v>36</v>
      </c>
      <c r="E1" s="1" t="s">
        <v>3</v>
      </c>
      <c r="F1" s="1" t="s">
        <v>4</v>
      </c>
      <c r="G1" s="1" t="s">
        <v>5</v>
      </c>
      <c r="H1" s="2" t="s">
        <v>34</v>
      </c>
      <c r="I1" t="s">
        <v>78</v>
      </c>
    </row>
    <row r="2" spans="1:11" ht="72">
      <c r="A2" s="7" t="s">
        <v>38</v>
      </c>
      <c r="B2" s="5" t="s">
        <v>35</v>
      </c>
      <c r="C2" s="6" t="s">
        <v>9</v>
      </c>
      <c r="D2" s="7" t="s">
        <v>37</v>
      </c>
      <c r="E2" s="5" t="s">
        <v>75</v>
      </c>
      <c r="F2" s="5" t="s">
        <v>76</v>
      </c>
      <c r="G2" s="8" t="s">
        <v>8</v>
      </c>
      <c r="H2" s="5" t="s">
        <v>77</v>
      </c>
      <c r="I2" s="9"/>
    </row>
    <row r="3" spans="1:11" ht="129.6">
      <c r="A3" s="7" t="s">
        <v>39</v>
      </c>
      <c r="B3" s="5" t="s">
        <v>35</v>
      </c>
      <c r="C3" s="6" t="s">
        <v>9</v>
      </c>
      <c r="D3" s="7" t="s">
        <v>46</v>
      </c>
      <c r="E3" s="5" t="s">
        <v>74</v>
      </c>
      <c r="F3" s="5" t="s">
        <v>47</v>
      </c>
      <c r="G3" s="8" t="s">
        <v>8</v>
      </c>
      <c r="H3" s="6">
        <v>1</v>
      </c>
      <c r="I3" s="9"/>
      <c r="K3" s="10"/>
    </row>
    <row r="4" spans="1:11" ht="244.8">
      <c r="A4" s="7" t="s">
        <v>40</v>
      </c>
      <c r="B4" s="5" t="s">
        <v>35</v>
      </c>
      <c r="C4" s="5" t="s">
        <v>9</v>
      </c>
      <c r="D4" s="7" t="s">
        <v>48</v>
      </c>
      <c r="E4" s="5" t="s">
        <v>68</v>
      </c>
      <c r="F4" s="5" t="s">
        <v>49</v>
      </c>
      <c r="G4" s="8" t="s">
        <v>8</v>
      </c>
      <c r="H4" s="5" t="s">
        <v>80</v>
      </c>
      <c r="I4" s="11" t="s">
        <v>79</v>
      </c>
    </row>
    <row r="5" spans="1:11" ht="43.2">
      <c r="A5" s="7" t="s">
        <v>41</v>
      </c>
      <c r="B5" s="5" t="s">
        <v>35</v>
      </c>
      <c r="C5" s="6" t="s">
        <v>9</v>
      </c>
      <c r="D5" s="7" t="s">
        <v>50</v>
      </c>
      <c r="E5" s="5" t="s">
        <v>69</v>
      </c>
      <c r="F5" s="5" t="s">
        <v>67</v>
      </c>
      <c r="G5" s="8" t="s">
        <v>8</v>
      </c>
      <c r="H5" s="6"/>
      <c r="I5" s="9"/>
    </row>
    <row r="6" spans="1:11" ht="57.6">
      <c r="A6" s="7" t="s">
        <v>42</v>
      </c>
      <c r="B6" s="5" t="s">
        <v>35</v>
      </c>
      <c r="C6" s="6" t="s">
        <v>9</v>
      </c>
      <c r="D6" s="7" t="s">
        <v>51</v>
      </c>
      <c r="E6" s="5" t="s">
        <v>70</v>
      </c>
      <c r="F6" s="5" t="s">
        <v>52</v>
      </c>
      <c r="G6" s="8" t="s">
        <v>8</v>
      </c>
      <c r="H6" s="6"/>
      <c r="I6" s="9"/>
    </row>
    <row r="7" spans="1:11" ht="86.4">
      <c r="A7" s="7" t="s">
        <v>43</v>
      </c>
      <c r="B7" s="5" t="s">
        <v>35</v>
      </c>
      <c r="C7" s="6" t="s">
        <v>9</v>
      </c>
      <c r="D7" s="7" t="s">
        <v>53</v>
      </c>
      <c r="E7" s="5" t="s">
        <v>71</v>
      </c>
      <c r="F7" s="5" t="s">
        <v>66</v>
      </c>
      <c r="G7" s="8" t="s">
        <v>8</v>
      </c>
      <c r="H7" s="6"/>
      <c r="I7" s="9"/>
    </row>
    <row r="8" spans="1:11" ht="43.2">
      <c r="A8" s="7" t="s">
        <v>44</v>
      </c>
      <c r="B8" s="5" t="s">
        <v>35</v>
      </c>
      <c r="C8" s="6" t="s">
        <v>9</v>
      </c>
      <c r="D8" s="7" t="s">
        <v>54</v>
      </c>
      <c r="E8" s="5" t="s">
        <v>72</v>
      </c>
      <c r="F8" s="5" t="s">
        <v>55</v>
      </c>
      <c r="G8" s="8" t="s">
        <v>8</v>
      </c>
      <c r="H8" s="6"/>
      <c r="I8" s="9"/>
    </row>
    <row r="9" spans="1:11" ht="43.2">
      <c r="A9" s="7" t="s">
        <v>45</v>
      </c>
      <c r="B9" s="5" t="s">
        <v>35</v>
      </c>
      <c r="C9" s="6" t="s">
        <v>9</v>
      </c>
      <c r="D9" s="7" t="s">
        <v>56</v>
      </c>
      <c r="E9" s="5" t="s">
        <v>57</v>
      </c>
      <c r="F9" s="5" t="s">
        <v>58</v>
      </c>
      <c r="G9" s="8" t="s">
        <v>10</v>
      </c>
      <c r="H9" s="6"/>
      <c r="I9" s="9"/>
    </row>
    <row r="10" spans="1:11" ht="28.8">
      <c r="A10" s="7" t="s">
        <v>59</v>
      </c>
      <c r="B10" s="5" t="s">
        <v>35</v>
      </c>
      <c r="C10" s="6" t="s">
        <v>9</v>
      </c>
      <c r="D10" s="7" t="s">
        <v>61</v>
      </c>
      <c r="E10" s="5" t="s">
        <v>73</v>
      </c>
      <c r="F10" s="5" t="s">
        <v>62</v>
      </c>
      <c r="G10" s="8" t="s">
        <v>10</v>
      </c>
      <c r="H10" s="6"/>
      <c r="I10" s="9"/>
    </row>
    <row r="11" spans="1:11" ht="28.8">
      <c r="A11" s="7" t="s">
        <v>60</v>
      </c>
      <c r="B11" s="5" t="s">
        <v>35</v>
      </c>
      <c r="C11" s="6" t="s">
        <v>9</v>
      </c>
      <c r="D11" s="7" t="s">
        <v>63</v>
      </c>
      <c r="E11" s="5" t="s">
        <v>64</v>
      </c>
      <c r="F11" s="5" t="s">
        <v>65</v>
      </c>
      <c r="G11" s="8" t="s">
        <v>10</v>
      </c>
      <c r="H11" s="6"/>
      <c r="I11" s="9"/>
    </row>
    <row r="12" spans="1:11">
      <c r="A12" s="7"/>
      <c r="B12" s="5"/>
      <c r="C12" s="6"/>
      <c r="D12" s="7"/>
      <c r="E12" s="6"/>
      <c r="F12" s="6"/>
      <c r="G12" s="8"/>
      <c r="H12" s="6"/>
      <c r="I12" s="9"/>
    </row>
    <row r="13" spans="1:11">
      <c r="A13" s="7"/>
      <c r="B13" s="5"/>
      <c r="C13" s="6"/>
      <c r="D13" s="7"/>
      <c r="E13" s="6"/>
      <c r="F13" s="6"/>
      <c r="G13" s="8"/>
      <c r="H13" s="6"/>
      <c r="I13" s="9"/>
    </row>
    <row r="14" spans="1:11">
      <c r="A14" s="7"/>
      <c r="B14" s="5"/>
      <c r="C14" s="6"/>
      <c r="D14" s="7"/>
      <c r="E14" s="6"/>
      <c r="F14" s="6"/>
      <c r="G14" s="8"/>
      <c r="H14" s="6"/>
      <c r="I14" s="9"/>
    </row>
    <row r="15" spans="1:11">
      <c r="A15" s="7"/>
      <c r="B15" s="5"/>
      <c r="C15" s="6"/>
      <c r="D15" s="7"/>
      <c r="E15" s="6"/>
      <c r="F15" s="6"/>
      <c r="G15" s="8"/>
      <c r="H15" s="6"/>
      <c r="I15" s="9"/>
    </row>
    <row r="16" spans="1:11">
      <c r="A16" s="7" t="str">
        <f t="shared" ref="A16:A26" si="0">IF(D16="","","MI-"&amp;TEXT(ROW()-1,"000"))</f>
        <v/>
      </c>
      <c r="B16" s="6"/>
      <c r="C16" s="6"/>
      <c r="D16" s="7"/>
      <c r="E16" s="6"/>
      <c r="F16" s="6"/>
      <c r="G16" s="8"/>
      <c r="H16" s="6"/>
      <c r="I16" s="9"/>
    </row>
    <row r="17" spans="1:9">
      <c r="A17" s="7" t="str">
        <f t="shared" si="0"/>
        <v/>
      </c>
      <c r="B17" s="6"/>
      <c r="C17" s="6"/>
      <c r="D17" s="7"/>
      <c r="E17" s="6"/>
      <c r="F17" s="6"/>
      <c r="G17" s="8"/>
      <c r="H17" s="6"/>
      <c r="I17" s="9"/>
    </row>
    <row r="18" spans="1:9">
      <c r="A18" s="7" t="str">
        <f t="shared" si="0"/>
        <v/>
      </c>
      <c r="B18" s="6"/>
      <c r="C18" s="6"/>
      <c r="D18" s="7"/>
      <c r="E18" s="6"/>
      <c r="F18" s="6"/>
      <c r="G18" s="8"/>
      <c r="H18" s="6"/>
      <c r="I18" s="9"/>
    </row>
    <row r="19" spans="1:9">
      <c r="A19" s="7" t="str">
        <f t="shared" si="0"/>
        <v/>
      </c>
      <c r="B19" s="6"/>
      <c r="C19" s="6"/>
      <c r="D19" s="7"/>
      <c r="E19" s="6"/>
      <c r="F19" s="6"/>
      <c r="G19" s="8"/>
      <c r="H19" s="6"/>
      <c r="I19" s="9"/>
    </row>
    <row r="20" spans="1:9">
      <c r="A20" s="7" t="str">
        <f t="shared" si="0"/>
        <v/>
      </c>
      <c r="B20" s="6"/>
      <c r="C20" s="6"/>
      <c r="D20" s="7"/>
      <c r="E20" s="6"/>
      <c r="F20" s="6"/>
      <c r="G20" s="8"/>
      <c r="H20" s="6"/>
      <c r="I20" s="9"/>
    </row>
    <row r="21" spans="1:9">
      <c r="A21" s="7" t="str">
        <f t="shared" si="0"/>
        <v/>
      </c>
      <c r="B21" s="6"/>
      <c r="C21" s="6"/>
      <c r="D21" s="7"/>
      <c r="E21" s="6"/>
      <c r="F21" s="6"/>
      <c r="G21" s="8"/>
      <c r="H21" s="6"/>
      <c r="I21" s="9"/>
    </row>
    <row r="22" spans="1:9">
      <c r="A22" s="7" t="str">
        <f t="shared" si="0"/>
        <v/>
      </c>
      <c r="B22" s="6"/>
      <c r="C22" s="6"/>
      <c r="D22" s="7"/>
      <c r="E22" s="6"/>
      <c r="F22" s="6"/>
      <c r="G22" s="8"/>
      <c r="H22" s="6"/>
      <c r="I22" s="9"/>
    </row>
    <row r="23" spans="1:9">
      <c r="A23" s="7" t="str">
        <f t="shared" si="0"/>
        <v/>
      </c>
      <c r="B23" s="6"/>
      <c r="C23" s="6"/>
      <c r="D23" s="7"/>
      <c r="E23" s="6"/>
      <c r="F23" s="6"/>
      <c r="G23" s="8"/>
      <c r="H23" s="6"/>
      <c r="I23" s="9"/>
    </row>
    <row r="24" spans="1:9">
      <c r="A24" s="7" t="str">
        <f t="shared" si="0"/>
        <v/>
      </c>
      <c r="B24" s="6"/>
      <c r="C24" s="6"/>
      <c r="D24" s="7"/>
      <c r="E24" s="6"/>
      <c r="F24" s="6"/>
      <c r="G24" s="8"/>
      <c r="H24" s="6"/>
      <c r="I24" s="9"/>
    </row>
    <row r="25" spans="1:9">
      <c r="A25" s="7" t="str">
        <f t="shared" si="0"/>
        <v/>
      </c>
      <c r="B25" s="6"/>
      <c r="C25" s="6"/>
      <c r="D25" s="7"/>
      <c r="E25" s="6"/>
      <c r="F25" s="6"/>
      <c r="G25" s="8"/>
      <c r="H25" s="6"/>
      <c r="I25" s="9"/>
    </row>
    <row r="26" spans="1:9">
      <c r="A26" s="7" t="str">
        <f t="shared" si="0"/>
        <v/>
      </c>
      <c r="B26" s="6"/>
      <c r="C26" s="6"/>
      <c r="D26" s="7"/>
      <c r="E26" s="6"/>
      <c r="F26" s="6"/>
      <c r="G26" s="8"/>
      <c r="H26" s="6"/>
      <c r="I26" s="9"/>
    </row>
    <row r="27" spans="1:9">
      <c r="A27" s="7" t="str">
        <f t="shared" ref="A27:A58" si="1">IF(D27="","","MI-"&amp;TEXT(ROW()-8,"000"))</f>
        <v/>
      </c>
      <c r="B27" s="6"/>
      <c r="C27" s="6"/>
      <c r="D27" s="7"/>
      <c r="E27" s="6"/>
      <c r="F27" s="6"/>
      <c r="G27" s="8"/>
      <c r="H27" s="6"/>
      <c r="I27" s="9"/>
    </row>
    <row r="28" spans="1:9">
      <c r="A28" s="7" t="str">
        <f t="shared" si="1"/>
        <v/>
      </c>
      <c r="B28" s="6"/>
      <c r="C28" s="6"/>
      <c r="D28" s="7"/>
      <c r="E28" s="6"/>
      <c r="F28" s="6"/>
      <c r="G28" s="8"/>
      <c r="H28" s="6"/>
      <c r="I28" s="9"/>
    </row>
    <row r="29" spans="1:9">
      <c r="A29" s="7" t="str">
        <f t="shared" si="1"/>
        <v/>
      </c>
      <c r="B29" s="6"/>
      <c r="C29" s="6"/>
      <c r="D29" s="7"/>
      <c r="E29" s="6"/>
      <c r="F29" s="6"/>
      <c r="G29" s="8"/>
      <c r="H29" s="6"/>
      <c r="I29" s="9"/>
    </row>
    <row r="30" spans="1:9">
      <c r="A30" s="7" t="str">
        <f t="shared" si="1"/>
        <v/>
      </c>
      <c r="B30" s="6"/>
      <c r="C30" s="6"/>
      <c r="D30" s="7"/>
      <c r="E30" s="6"/>
      <c r="F30" s="6"/>
      <c r="G30" s="8"/>
      <c r="H30" s="6"/>
      <c r="I30" s="9"/>
    </row>
    <row r="31" spans="1:9">
      <c r="A31" s="7" t="str">
        <f t="shared" si="1"/>
        <v/>
      </c>
      <c r="B31" s="6"/>
      <c r="C31" s="6"/>
      <c r="D31" s="7"/>
      <c r="E31" s="6"/>
      <c r="F31" s="6"/>
      <c r="G31" s="8"/>
      <c r="H31" s="6"/>
      <c r="I31" s="9"/>
    </row>
    <row r="32" spans="1:9">
      <c r="A32" s="7" t="str">
        <f t="shared" si="1"/>
        <v/>
      </c>
      <c r="B32" s="6"/>
      <c r="C32" s="6"/>
      <c r="D32" s="7"/>
      <c r="E32" s="6"/>
      <c r="F32" s="6"/>
      <c r="G32" s="8"/>
      <c r="H32" s="6"/>
      <c r="I32" s="9"/>
    </row>
    <row r="33" spans="1:9">
      <c r="A33" s="7" t="str">
        <f t="shared" si="1"/>
        <v/>
      </c>
      <c r="B33" s="6"/>
      <c r="C33" s="6"/>
      <c r="D33" s="7"/>
      <c r="E33" s="6"/>
      <c r="F33" s="6"/>
      <c r="G33" s="8"/>
      <c r="H33" s="6"/>
      <c r="I33" s="9"/>
    </row>
    <row r="34" spans="1:9">
      <c r="A34" s="7" t="str">
        <f t="shared" si="1"/>
        <v/>
      </c>
      <c r="B34" s="6"/>
      <c r="C34" s="6"/>
      <c r="D34" s="7"/>
      <c r="E34" s="6"/>
      <c r="F34" s="6"/>
      <c r="G34" s="8"/>
      <c r="H34" s="6"/>
      <c r="I34" s="9"/>
    </row>
    <row r="35" spans="1:9">
      <c r="A35" s="7" t="str">
        <f t="shared" si="1"/>
        <v/>
      </c>
      <c r="B35" s="6"/>
      <c r="C35" s="6"/>
      <c r="D35" s="7"/>
      <c r="E35" s="6"/>
      <c r="F35" s="6"/>
      <c r="G35" s="8"/>
      <c r="H35" s="6"/>
      <c r="I35" s="9"/>
    </row>
    <row r="36" spans="1:9">
      <c r="A36" s="7" t="str">
        <f t="shared" si="1"/>
        <v/>
      </c>
      <c r="B36" s="6"/>
      <c r="C36" s="6"/>
      <c r="D36" s="7"/>
      <c r="E36" s="6"/>
      <c r="F36" s="6"/>
      <c r="G36" s="8"/>
      <c r="H36" s="6"/>
      <c r="I36" s="9"/>
    </row>
    <row r="37" spans="1:9">
      <c r="A37" s="7" t="str">
        <f t="shared" si="1"/>
        <v/>
      </c>
      <c r="B37" s="6"/>
      <c r="C37" s="6"/>
      <c r="D37" s="7"/>
      <c r="E37" s="6"/>
      <c r="F37" s="6"/>
      <c r="G37" s="8"/>
      <c r="H37" s="6"/>
      <c r="I37" s="9"/>
    </row>
    <row r="38" spans="1:9">
      <c r="A38" s="7" t="str">
        <f t="shared" si="1"/>
        <v/>
      </c>
      <c r="B38" s="6"/>
      <c r="C38" s="6"/>
      <c r="D38" s="7"/>
      <c r="E38" s="6"/>
      <c r="F38" s="6"/>
      <c r="G38" s="8"/>
      <c r="H38" s="6"/>
      <c r="I38" s="9"/>
    </row>
    <row r="39" spans="1:9">
      <c r="A39" s="7" t="str">
        <f t="shared" si="1"/>
        <v/>
      </c>
      <c r="B39" s="6"/>
      <c r="C39" s="6"/>
      <c r="D39" s="7"/>
      <c r="E39" s="6"/>
      <c r="F39" s="6"/>
      <c r="G39" s="8"/>
      <c r="H39" s="6"/>
      <c r="I39" s="9"/>
    </row>
    <row r="40" spans="1:9">
      <c r="A40" s="7" t="str">
        <f t="shared" si="1"/>
        <v/>
      </c>
      <c r="B40" s="6"/>
      <c r="C40" s="6"/>
      <c r="D40" s="7"/>
      <c r="E40" s="6"/>
      <c r="F40" s="6"/>
      <c r="G40" s="8"/>
      <c r="H40" s="6"/>
      <c r="I40" s="9"/>
    </row>
    <row r="41" spans="1:9">
      <c r="A41" s="7" t="str">
        <f t="shared" si="1"/>
        <v/>
      </c>
      <c r="B41" s="6"/>
      <c r="C41" s="6"/>
      <c r="D41" s="7"/>
      <c r="E41" s="6"/>
      <c r="F41" s="6"/>
      <c r="G41" s="8"/>
      <c r="H41" s="6"/>
      <c r="I41" s="9"/>
    </row>
    <row r="42" spans="1:9">
      <c r="A42" s="7" t="str">
        <f t="shared" si="1"/>
        <v/>
      </c>
      <c r="B42" s="6"/>
      <c r="C42" s="6"/>
      <c r="D42" s="7"/>
      <c r="E42" s="6"/>
      <c r="F42" s="6"/>
      <c r="G42" s="8"/>
      <c r="H42" s="6"/>
      <c r="I42" s="9"/>
    </row>
    <row r="43" spans="1:9">
      <c r="A43" s="7" t="str">
        <f t="shared" si="1"/>
        <v/>
      </c>
      <c r="B43" s="6"/>
      <c r="C43" s="6"/>
      <c r="D43" s="7"/>
      <c r="E43" s="6"/>
      <c r="F43" s="6"/>
      <c r="G43" s="8"/>
      <c r="H43" s="6"/>
      <c r="I43" s="9"/>
    </row>
    <row r="44" spans="1:9">
      <c r="A44" s="7" t="str">
        <f t="shared" si="1"/>
        <v/>
      </c>
      <c r="B44" s="6"/>
      <c r="C44" s="6"/>
      <c r="D44" s="7"/>
      <c r="E44" s="6"/>
      <c r="F44" s="6"/>
      <c r="G44" s="8"/>
      <c r="H44" s="6"/>
      <c r="I44" s="9"/>
    </row>
    <row r="45" spans="1:9">
      <c r="A45" s="7" t="str">
        <f t="shared" si="1"/>
        <v/>
      </c>
      <c r="B45" s="6"/>
      <c r="C45" s="6"/>
      <c r="D45" s="7"/>
      <c r="E45" s="6"/>
      <c r="F45" s="6"/>
      <c r="G45" s="8"/>
      <c r="H45" s="6"/>
      <c r="I45" s="9"/>
    </row>
    <row r="46" spans="1:9">
      <c r="A46" s="7" t="str">
        <f t="shared" si="1"/>
        <v/>
      </c>
      <c r="B46" s="6"/>
      <c r="C46" s="6"/>
      <c r="D46" s="7"/>
      <c r="E46" s="6"/>
      <c r="F46" s="6"/>
      <c r="G46" s="8"/>
      <c r="H46" s="6"/>
      <c r="I46" s="9"/>
    </row>
    <row r="47" spans="1:9">
      <c r="A47" s="7" t="str">
        <f t="shared" si="1"/>
        <v/>
      </c>
      <c r="B47" s="6"/>
      <c r="C47" s="6"/>
      <c r="D47" s="7"/>
      <c r="E47" s="6"/>
      <c r="F47" s="6"/>
      <c r="G47" s="8"/>
      <c r="H47" s="6"/>
      <c r="I47" s="9"/>
    </row>
    <row r="48" spans="1:9">
      <c r="A48" s="7" t="str">
        <f t="shared" si="1"/>
        <v/>
      </c>
      <c r="B48" s="6"/>
      <c r="C48" s="6"/>
      <c r="D48" s="7"/>
      <c r="E48" s="6"/>
      <c r="F48" s="6"/>
      <c r="G48" s="8"/>
      <c r="H48" s="6"/>
      <c r="I48" s="9"/>
    </row>
    <row r="49" spans="1:9">
      <c r="A49" s="7" t="str">
        <f t="shared" si="1"/>
        <v/>
      </c>
      <c r="B49" s="6"/>
      <c r="C49" s="6"/>
      <c r="D49" s="7"/>
      <c r="E49" s="6"/>
      <c r="F49" s="6"/>
      <c r="G49" s="8"/>
      <c r="H49" s="6"/>
      <c r="I49" s="9"/>
    </row>
    <row r="50" spans="1:9">
      <c r="A50" s="7" t="str">
        <f t="shared" si="1"/>
        <v/>
      </c>
      <c r="B50" s="6"/>
      <c r="C50" s="6"/>
      <c r="D50" s="7"/>
      <c r="E50" s="6"/>
      <c r="F50" s="6"/>
      <c r="G50" s="8"/>
      <c r="H50" s="6"/>
      <c r="I50" s="9"/>
    </row>
    <row r="51" spans="1:9">
      <c r="A51" s="7" t="str">
        <f t="shared" si="1"/>
        <v/>
      </c>
      <c r="B51" s="6"/>
      <c r="C51" s="6"/>
      <c r="D51" s="7"/>
      <c r="E51" s="6"/>
      <c r="F51" s="6"/>
      <c r="G51" s="8"/>
      <c r="H51" s="6"/>
      <c r="I51" s="9"/>
    </row>
    <row r="52" spans="1:9">
      <c r="A52" s="7" t="str">
        <f t="shared" si="1"/>
        <v/>
      </c>
      <c r="B52" s="6"/>
      <c r="C52" s="6"/>
      <c r="D52" s="7"/>
      <c r="E52" s="6"/>
      <c r="F52" s="6"/>
      <c r="G52" s="8"/>
      <c r="H52" s="6"/>
      <c r="I52" s="9"/>
    </row>
    <row r="53" spans="1:9">
      <c r="A53" s="7" t="str">
        <f t="shared" si="1"/>
        <v/>
      </c>
      <c r="B53" s="6"/>
      <c r="C53" s="6"/>
      <c r="D53" s="7"/>
      <c r="E53" s="6"/>
      <c r="F53" s="6"/>
      <c r="G53" s="8"/>
      <c r="H53" s="6"/>
      <c r="I53" s="9"/>
    </row>
    <row r="54" spans="1:9">
      <c r="A54" s="7" t="str">
        <f t="shared" si="1"/>
        <v/>
      </c>
      <c r="B54" s="6"/>
      <c r="C54" s="6"/>
      <c r="D54" s="7"/>
      <c r="E54" s="6"/>
      <c r="F54" s="6"/>
      <c r="G54" s="8"/>
      <c r="H54" s="6"/>
      <c r="I54" s="9"/>
    </row>
    <row r="55" spans="1:9">
      <c r="A55" s="7" t="str">
        <f t="shared" si="1"/>
        <v/>
      </c>
      <c r="B55" s="6"/>
      <c r="C55" s="6"/>
      <c r="D55" s="7"/>
      <c r="E55" s="6"/>
      <c r="F55" s="6"/>
      <c r="G55" s="8"/>
      <c r="H55" s="6"/>
      <c r="I55" s="9"/>
    </row>
    <row r="56" spans="1:9">
      <c r="A56" s="7" t="str">
        <f t="shared" si="1"/>
        <v/>
      </c>
      <c r="B56" s="6"/>
      <c r="C56" s="6"/>
      <c r="D56" s="7"/>
      <c r="E56" s="6"/>
      <c r="F56" s="6"/>
      <c r="G56" s="8"/>
      <c r="H56" s="6"/>
      <c r="I56" s="9"/>
    </row>
    <row r="57" spans="1:9">
      <c r="A57" s="7" t="str">
        <f t="shared" si="1"/>
        <v/>
      </c>
      <c r="B57" s="6"/>
      <c r="C57" s="6"/>
      <c r="D57" s="7"/>
      <c r="E57" s="6"/>
      <c r="F57" s="6"/>
      <c r="G57" s="8"/>
      <c r="H57" s="6"/>
      <c r="I57" s="9"/>
    </row>
    <row r="58" spans="1:9">
      <c r="A58" s="7" t="str">
        <f t="shared" si="1"/>
        <v/>
      </c>
      <c r="B58" s="6"/>
      <c r="C58" s="6"/>
      <c r="D58" s="7"/>
      <c r="E58" s="6"/>
      <c r="F58" s="6"/>
      <c r="G58" s="8"/>
      <c r="H58" s="6"/>
      <c r="I58" s="9"/>
    </row>
    <row r="59" spans="1:9">
      <c r="A59" s="7" t="str">
        <f t="shared" ref="A59:A90" si="2">IF(D59="","","MI-"&amp;TEXT(ROW()-8,"000"))</f>
        <v/>
      </c>
      <c r="B59" s="6"/>
      <c r="C59" s="6"/>
      <c r="D59" s="7"/>
      <c r="E59" s="6"/>
      <c r="F59" s="6"/>
      <c r="G59" s="8"/>
      <c r="H59" s="6"/>
      <c r="I59" s="9"/>
    </row>
    <row r="60" spans="1:9">
      <c r="A60" s="7" t="str">
        <f t="shared" si="2"/>
        <v/>
      </c>
      <c r="B60" s="6"/>
      <c r="C60" s="6"/>
      <c r="D60" s="7"/>
      <c r="E60" s="6"/>
      <c r="F60" s="6"/>
      <c r="G60" s="8"/>
      <c r="H60" s="6"/>
      <c r="I60" s="9"/>
    </row>
    <row r="61" spans="1:9">
      <c r="A61" s="7" t="str">
        <f t="shared" si="2"/>
        <v/>
      </c>
      <c r="B61" s="6"/>
      <c r="C61" s="6"/>
      <c r="D61" s="7"/>
      <c r="E61" s="6"/>
      <c r="F61" s="6"/>
      <c r="G61" s="8"/>
      <c r="H61" s="6"/>
      <c r="I61" s="9"/>
    </row>
    <row r="62" spans="1:9">
      <c r="A62" s="7" t="str">
        <f t="shared" si="2"/>
        <v/>
      </c>
      <c r="B62" s="6"/>
      <c r="C62" s="6"/>
      <c r="D62" s="7"/>
      <c r="E62" s="6"/>
      <c r="F62" s="6"/>
      <c r="G62" s="8"/>
      <c r="H62" s="6"/>
      <c r="I62" s="9"/>
    </row>
    <row r="63" spans="1:9">
      <c r="A63" s="7" t="str">
        <f t="shared" si="2"/>
        <v/>
      </c>
      <c r="B63" s="6"/>
      <c r="C63" s="6"/>
      <c r="D63" s="7"/>
      <c r="E63" s="6"/>
      <c r="F63" s="6"/>
      <c r="G63" s="8"/>
      <c r="H63" s="6"/>
      <c r="I63" s="9"/>
    </row>
    <row r="64" spans="1:9">
      <c r="A64" s="7" t="str">
        <f t="shared" si="2"/>
        <v/>
      </c>
      <c r="B64" s="6"/>
      <c r="C64" s="6"/>
      <c r="D64" s="7"/>
      <c r="E64" s="6"/>
      <c r="F64" s="6"/>
      <c r="G64" s="8"/>
      <c r="H64" s="6"/>
      <c r="I64" s="9"/>
    </row>
    <row r="65" spans="1:9">
      <c r="A65" s="7" t="str">
        <f t="shared" si="2"/>
        <v/>
      </c>
      <c r="B65" s="6"/>
      <c r="C65" s="6"/>
      <c r="D65" s="7"/>
      <c r="E65" s="6"/>
      <c r="F65" s="6"/>
      <c r="G65" s="8"/>
      <c r="H65" s="6"/>
      <c r="I65" s="9"/>
    </row>
    <row r="66" spans="1:9">
      <c r="A66" s="7" t="str">
        <f t="shared" si="2"/>
        <v/>
      </c>
      <c r="B66" s="6"/>
      <c r="C66" s="6"/>
      <c r="D66" s="7"/>
      <c r="E66" s="6"/>
      <c r="F66" s="6"/>
      <c r="G66" s="8"/>
      <c r="H66" s="6"/>
      <c r="I66" s="9"/>
    </row>
    <row r="67" spans="1:9">
      <c r="A67" s="7" t="str">
        <f t="shared" si="2"/>
        <v/>
      </c>
      <c r="B67" s="6"/>
      <c r="C67" s="6"/>
      <c r="D67" s="7"/>
      <c r="E67" s="6"/>
      <c r="F67" s="6"/>
      <c r="G67" s="8"/>
      <c r="H67" s="6"/>
      <c r="I67" s="9"/>
    </row>
    <row r="68" spans="1:9">
      <c r="A68" s="7" t="str">
        <f t="shared" si="2"/>
        <v/>
      </c>
      <c r="B68" s="6"/>
      <c r="C68" s="6"/>
      <c r="D68" s="7"/>
      <c r="E68" s="6"/>
      <c r="F68" s="6"/>
      <c r="G68" s="8"/>
      <c r="H68" s="6"/>
      <c r="I68" s="9"/>
    </row>
    <row r="69" spans="1:9">
      <c r="A69" s="7" t="str">
        <f t="shared" si="2"/>
        <v/>
      </c>
      <c r="B69" s="6"/>
      <c r="C69" s="6"/>
      <c r="D69" s="7"/>
      <c r="E69" s="6"/>
      <c r="F69" s="6"/>
      <c r="G69" s="8"/>
      <c r="H69" s="6"/>
      <c r="I69" s="9"/>
    </row>
    <row r="70" spans="1:9">
      <c r="A70" s="7" t="str">
        <f t="shared" si="2"/>
        <v/>
      </c>
      <c r="B70" s="6"/>
      <c r="C70" s="6"/>
      <c r="D70" s="7"/>
      <c r="E70" s="6"/>
      <c r="F70" s="6"/>
      <c r="G70" s="8"/>
      <c r="H70" s="6"/>
      <c r="I70" s="9"/>
    </row>
    <row r="71" spans="1:9">
      <c r="A71" s="7" t="str">
        <f t="shared" si="2"/>
        <v/>
      </c>
      <c r="B71" s="6"/>
      <c r="C71" s="6"/>
      <c r="D71" s="7"/>
      <c r="E71" s="6"/>
      <c r="F71" s="6"/>
      <c r="G71" s="8"/>
      <c r="H71" s="6"/>
      <c r="I71" s="9"/>
    </row>
    <row r="72" spans="1:9">
      <c r="A72" s="7" t="str">
        <f t="shared" si="2"/>
        <v/>
      </c>
      <c r="B72" s="6"/>
      <c r="C72" s="6"/>
      <c r="D72" s="7"/>
      <c r="E72" s="6"/>
      <c r="F72" s="6"/>
      <c r="G72" s="8"/>
      <c r="H72" s="6"/>
      <c r="I72" s="9"/>
    </row>
    <row r="73" spans="1:9">
      <c r="A73" s="7" t="str">
        <f t="shared" si="2"/>
        <v/>
      </c>
      <c r="B73" s="6"/>
      <c r="C73" s="6"/>
      <c r="D73" s="7"/>
      <c r="E73" s="6"/>
      <c r="F73" s="6"/>
      <c r="G73" s="8"/>
      <c r="H73" s="6"/>
      <c r="I73" s="9"/>
    </row>
    <row r="74" spans="1:9">
      <c r="A74" s="7" t="str">
        <f t="shared" si="2"/>
        <v/>
      </c>
      <c r="B74" s="6"/>
      <c r="C74" s="6"/>
      <c r="D74" s="7"/>
      <c r="E74" s="6"/>
      <c r="F74" s="6"/>
      <c r="G74" s="8"/>
      <c r="H74" s="6"/>
      <c r="I74" s="9"/>
    </row>
    <row r="75" spans="1:9">
      <c r="A75" s="7" t="str">
        <f t="shared" si="2"/>
        <v/>
      </c>
      <c r="B75" s="6"/>
      <c r="C75" s="6"/>
      <c r="D75" s="7"/>
      <c r="E75" s="6"/>
      <c r="F75" s="6"/>
      <c r="G75" s="8"/>
      <c r="H75" s="6"/>
      <c r="I75" s="9"/>
    </row>
    <row r="76" spans="1:9">
      <c r="A76" s="7" t="str">
        <f t="shared" si="2"/>
        <v/>
      </c>
      <c r="B76" s="6"/>
      <c r="C76" s="6"/>
      <c r="D76" s="7"/>
      <c r="E76" s="6"/>
      <c r="F76" s="6"/>
      <c r="G76" s="8"/>
      <c r="H76" s="6"/>
      <c r="I76" s="9"/>
    </row>
    <row r="77" spans="1:9">
      <c r="A77" s="7" t="str">
        <f t="shared" si="2"/>
        <v/>
      </c>
      <c r="B77" s="6"/>
      <c r="C77" s="6"/>
      <c r="D77" s="7"/>
      <c r="E77" s="6"/>
      <c r="F77" s="6"/>
      <c r="G77" s="8"/>
      <c r="H77" s="6"/>
      <c r="I77" s="9"/>
    </row>
    <row r="78" spans="1:9">
      <c r="A78" s="7" t="str">
        <f t="shared" si="2"/>
        <v/>
      </c>
      <c r="B78" s="6"/>
      <c r="C78" s="6"/>
      <c r="D78" s="7"/>
      <c r="E78" s="6"/>
      <c r="F78" s="6"/>
      <c r="G78" s="8"/>
      <c r="H78" s="6"/>
      <c r="I78" s="9"/>
    </row>
    <row r="79" spans="1:9">
      <c r="A79" s="7" t="str">
        <f t="shared" si="2"/>
        <v/>
      </c>
      <c r="B79" s="6"/>
      <c r="C79" s="6"/>
      <c r="D79" s="7"/>
      <c r="E79" s="6"/>
      <c r="F79" s="6"/>
      <c r="G79" s="8"/>
      <c r="H79" s="6"/>
      <c r="I79" s="9"/>
    </row>
    <row r="80" spans="1:9">
      <c r="A80" s="7" t="str">
        <f t="shared" si="2"/>
        <v/>
      </c>
      <c r="B80" s="6"/>
      <c r="C80" s="6"/>
      <c r="D80" s="7"/>
      <c r="E80" s="6"/>
      <c r="F80" s="6"/>
      <c r="G80" s="8"/>
      <c r="H80" s="6"/>
      <c r="I80" s="9"/>
    </row>
    <row r="81" spans="1:9">
      <c r="A81" s="7" t="str">
        <f t="shared" si="2"/>
        <v/>
      </c>
      <c r="B81" s="6"/>
      <c r="C81" s="6"/>
      <c r="D81" s="7"/>
      <c r="E81" s="6"/>
      <c r="F81" s="6"/>
      <c r="G81" s="8"/>
      <c r="H81" s="6"/>
      <c r="I81" s="9"/>
    </row>
    <row r="82" spans="1:9">
      <c r="A82" s="7" t="str">
        <f t="shared" si="2"/>
        <v/>
      </c>
      <c r="B82" s="6"/>
      <c r="C82" s="6"/>
      <c r="D82" s="7"/>
      <c r="E82" s="6"/>
      <c r="F82" s="6"/>
      <c r="G82" s="8"/>
      <c r="H82" s="6"/>
      <c r="I82" s="9"/>
    </row>
    <row r="83" spans="1:9">
      <c r="A83" s="7" t="str">
        <f t="shared" si="2"/>
        <v/>
      </c>
      <c r="B83" s="6"/>
      <c r="C83" s="6"/>
      <c r="D83" s="7"/>
      <c r="E83" s="6"/>
      <c r="F83" s="6"/>
      <c r="G83" s="8"/>
      <c r="H83" s="6"/>
      <c r="I83" s="9"/>
    </row>
    <row r="84" spans="1:9">
      <c r="A84" s="7" t="str">
        <f t="shared" si="2"/>
        <v/>
      </c>
      <c r="B84" s="6"/>
      <c r="C84" s="6"/>
      <c r="D84" s="7"/>
      <c r="E84" s="6"/>
      <c r="F84" s="6"/>
      <c r="G84" s="8"/>
      <c r="H84" s="6"/>
      <c r="I84" s="9"/>
    </row>
    <row r="85" spans="1:9">
      <c r="A85" s="7" t="str">
        <f t="shared" si="2"/>
        <v/>
      </c>
      <c r="B85" s="6"/>
      <c r="C85" s="6"/>
      <c r="D85" s="7"/>
      <c r="E85" s="6"/>
      <c r="F85" s="6"/>
      <c r="G85" s="8"/>
      <c r="H85" s="6"/>
      <c r="I85" s="9"/>
    </row>
    <row r="86" spans="1:9">
      <c r="A86" s="7" t="str">
        <f t="shared" si="2"/>
        <v/>
      </c>
      <c r="B86" s="6"/>
      <c r="C86" s="6"/>
      <c r="D86" s="7"/>
      <c r="E86" s="6"/>
      <c r="F86" s="6"/>
      <c r="G86" s="8"/>
      <c r="H86" s="6"/>
      <c r="I86" s="9"/>
    </row>
    <row r="87" spans="1:9">
      <c r="A87" s="7" t="str">
        <f t="shared" si="2"/>
        <v/>
      </c>
      <c r="B87" s="6"/>
      <c r="C87" s="6"/>
      <c r="D87" s="7"/>
      <c r="E87" s="6"/>
      <c r="F87" s="6"/>
      <c r="G87" s="8"/>
      <c r="H87" s="6"/>
      <c r="I87" s="9"/>
    </row>
    <row r="88" spans="1:9">
      <c r="A88" s="7" t="str">
        <f t="shared" si="2"/>
        <v/>
      </c>
      <c r="B88" s="6"/>
      <c r="C88" s="6"/>
      <c r="D88" s="7"/>
      <c r="E88" s="6"/>
      <c r="F88" s="6"/>
      <c r="G88" s="8"/>
      <c r="H88" s="6"/>
      <c r="I88" s="9"/>
    </row>
    <row r="89" spans="1:9">
      <c r="A89" s="7" t="str">
        <f t="shared" si="2"/>
        <v/>
      </c>
      <c r="B89" s="6"/>
      <c r="C89" s="6"/>
      <c r="D89" s="7"/>
      <c r="E89" s="6"/>
      <c r="F89" s="6"/>
      <c r="G89" s="8"/>
      <c r="H89" s="6"/>
      <c r="I89" s="9"/>
    </row>
    <row r="90" spans="1:9">
      <c r="A90" s="7" t="str">
        <f t="shared" si="2"/>
        <v/>
      </c>
      <c r="B90" s="6"/>
      <c r="C90" s="6"/>
      <c r="D90" s="7"/>
      <c r="E90" s="6"/>
      <c r="F90" s="6"/>
      <c r="G90" s="8"/>
      <c r="H90" s="6"/>
      <c r="I90" s="9"/>
    </row>
    <row r="91" spans="1:9">
      <c r="A91" s="7" t="str">
        <f t="shared" ref="A91:A101" si="3">IF(D91="","","MI-"&amp;TEXT(ROW()-8,"000"))</f>
        <v/>
      </c>
      <c r="B91" s="6"/>
      <c r="C91" s="6"/>
      <c r="D91" s="7"/>
      <c r="E91" s="6"/>
      <c r="F91" s="6"/>
      <c r="G91" s="8"/>
      <c r="H91" s="6"/>
      <c r="I91" s="9"/>
    </row>
    <row r="92" spans="1:9">
      <c r="A92" s="7" t="str">
        <f t="shared" si="3"/>
        <v/>
      </c>
      <c r="B92" s="6"/>
      <c r="C92" s="6"/>
      <c r="D92" s="7"/>
      <c r="E92" s="6"/>
      <c r="F92" s="6"/>
      <c r="G92" s="8"/>
      <c r="H92" s="6"/>
      <c r="I92" s="9"/>
    </row>
    <row r="93" spans="1:9">
      <c r="A93" s="7" t="str">
        <f t="shared" si="3"/>
        <v/>
      </c>
      <c r="B93" s="6"/>
      <c r="C93" s="6"/>
      <c r="D93" s="7"/>
      <c r="E93" s="6"/>
      <c r="F93" s="6"/>
      <c r="G93" s="8"/>
      <c r="H93" s="6"/>
      <c r="I93" s="9"/>
    </row>
    <row r="94" spans="1:9">
      <c r="A94" s="7" t="str">
        <f t="shared" si="3"/>
        <v/>
      </c>
      <c r="B94" s="6"/>
      <c r="C94" s="6"/>
      <c r="D94" s="7"/>
      <c r="E94" s="6"/>
      <c r="F94" s="6"/>
      <c r="G94" s="8"/>
      <c r="H94" s="6"/>
      <c r="I94" s="9"/>
    </row>
    <row r="95" spans="1:9">
      <c r="A95" s="7" t="str">
        <f t="shared" si="3"/>
        <v/>
      </c>
      <c r="B95" s="6"/>
      <c r="C95" s="6"/>
      <c r="D95" s="7"/>
      <c r="E95" s="6"/>
      <c r="F95" s="6"/>
      <c r="G95" s="8"/>
      <c r="H95" s="6"/>
      <c r="I95" s="9"/>
    </row>
    <row r="96" spans="1:9">
      <c r="A96" s="7" t="str">
        <f t="shared" si="3"/>
        <v/>
      </c>
      <c r="B96" s="6"/>
      <c r="C96" s="6"/>
      <c r="D96" s="7"/>
      <c r="E96" s="6"/>
      <c r="F96" s="6"/>
      <c r="G96" s="8"/>
      <c r="H96" s="6"/>
      <c r="I96" s="9"/>
    </row>
    <row r="97" spans="1:9">
      <c r="A97" s="7" t="str">
        <f t="shared" si="3"/>
        <v/>
      </c>
      <c r="B97" s="6"/>
      <c r="C97" s="6"/>
      <c r="D97" s="7"/>
      <c r="E97" s="6"/>
      <c r="F97" s="6"/>
      <c r="G97" s="8"/>
      <c r="H97" s="6"/>
      <c r="I97" s="9"/>
    </row>
    <row r="98" spans="1:9">
      <c r="A98" s="7" t="str">
        <f t="shared" si="3"/>
        <v/>
      </c>
      <c r="B98" s="6"/>
      <c r="C98" s="6"/>
      <c r="D98" s="7"/>
      <c r="E98" s="6"/>
      <c r="F98" s="6"/>
      <c r="G98" s="8"/>
      <c r="H98" s="6"/>
      <c r="I98" s="9"/>
    </row>
    <row r="99" spans="1:9">
      <c r="A99" s="7" t="str">
        <f t="shared" si="3"/>
        <v/>
      </c>
      <c r="B99" s="6"/>
      <c r="C99" s="6"/>
      <c r="D99" s="7"/>
      <c r="E99" s="6"/>
      <c r="F99" s="6"/>
      <c r="G99" s="8"/>
      <c r="H99" s="6"/>
      <c r="I99" s="9"/>
    </row>
    <row r="100" spans="1:9">
      <c r="A100" s="7" t="str">
        <f t="shared" si="3"/>
        <v/>
      </c>
      <c r="B100" s="6"/>
      <c r="C100" s="6"/>
      <c r="D100" s="7"/>
      <c r="E100" s="6"/>
      <c r="F100" s="6"/>
      <c r="G100" s="8"/>
      <c r="H100" s="6"/>
      <c r="I100" s="9"/>
    </row>
    <row r="101" spans="1:9">
      <c r="A101" s="7" t="str">
        <f t="shared" si="3"/>
        <v/>
      </c>
      <c r="B101" s="6"/>
      <c r="C101" s="6"/>
      <c r="D101" s="7"/>
      <c r="E101" s="6"/>
      <c r="F101" s="6"/>
      <c r="G101" s="8"/>
      <c r="H101" s="6"/>
      <c r="I101" s="9"/>
    </row>
  </sheetData>
  <phoneticPr fontId="5" type="noConversion"/>
  <conditionalFormatting sqref="G2:G101">
    <cfRule type="expression" dxfId="2" priority="1">
      <formula>G2="Critical"</formula>
    </cfRule>
  </conditionalFormatting>
  <conditionalFormatting sqref="H2:H101">
    <cfRule type="expression" dxfId="1" priority="2">
      <formula>H2="Closed"</formula>
    </cfRule>
  </conditionalFormatting>
  <pageMargins left="0.25" right="0.25" top="1" bottom="1" header="0.5" footer="0.5"/>
  <pageSetup orientation="landscape"/>
  <tableParts count="1">
    <tablePart r:id="rId1"/>
  </tableParts>
  <extLst>
    <ext xmlns:x14="http://schemas.microsoft.com/office/spreadsheetml/2009/9/main" uri="{CCE6A557-97BC-4b89-ADB6-D9C93CAAB3DF}">
      <x14:dataValidations xmlns:xm="http://schemas.microsoft.com/office/excel/2006/main" count="3">
        <x14:dataValidation type="list" allowBlank="1" errorTitle="Invalid selection" error="Select a value from the list." xr:uid="{00000000-0002-0000-0100-000000000000}">
          <x14:formula1>
            <xm:f>Lists!$A$2:$A$5</xm:f>
          </x14:formula1>
          <xm:sqref>G2:G101</xm:sqref>
        </x14:dataValidation>
        <x14:dataValidation type="list" allowBlank="1" errorTitle="Invalid selection" error="Select a value from the list." xr:uid="{00000000-0002-0000-0100-000001000000}">
          <x14:formula1>
            <xm:f>Lists!$B$2:$B$8</xm:f>
          </x14:formula1>
          <xm:sqref>H2:H101</xm:sqref>
        </x14:dataValidation>
        <x14:dataValidation type="list" allowBlank="1" errorTitle="Invalid selection" error="Select a value from the list." xr:uid="{00000000-0002-0000-0100-000003000000}">
          <x14:formula1>
            <xm:f>Lists!$D$2:$D$11</xm:f>
          </x14:formula1>
          <xm:sqref>C2:C101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4"/>
  <sheetData>
    <row r="1" spans="1:4">
      <c r="A1" t="s">
        <v>5</v>
      </c>
      <c r="B1" t="s">
        <v>6</v>
      </c>
      <c r="C1" t="s">
        <v>12</v>
      </c>
      <c r="D1" t="s">
        <v>13</v>
      </c>
    </row>
    <row r="2" spans="1:4">
      <c r="A2" t="s">
        <v>14</v>
      </c>
      <c r="B2" t="s">
        <v>15</v>
      </c>
      <c r="C2" t="s">
        <v>16</v>
      </c>
      <c r="D2" t="s">
        <v>7</v>
      </c>
    </row>
    <row r="3" spans="1:4">
      <c r="A3" t="s">
        <v>10</v>
      </c>
      <c r="B3" t="s">
        <v>17</v>
      </c>
      <c r="C3" t="s">
        <v>18</v>
      </c>
      <c r="D3" t="s">
        <v>19</v>
      </c>
    </row>
    <row r="4" spans="1:4">
      <c r="A4" t="s">
        <v>8</v>
      </c>
      <c r="B4" t="s">
        <v>20</v>
      </c>
      <c r="C4" t="s">
        <v>21</v>
      </c>
      <c r="D4" t="s">
        <v>9</v>
      </c>
    </row>
    <row r="5" spans="1:4">
      <c r="A5" t="s">
        <v>22</v>
      </c>
      <c r="B5" t="s">
        <v>23</v>
      </c>
      <c r="C5" t="s">
        <v>24</v>
      </c>
      <c r="D5" t="s">
        <v>25</v>
      </c>
    </row>
    <row r="6" spans="1:4">
      <c r="B6" t="s">
        <v>26</v>
      </c>
      <c r="D6" t="s">
        <v>27</v>
      </c>
    </row>
    <row r="7" spans="1:4">
      <c r="B7" t="s">
        <v>28</v>
      </c>
      <c r="D7" t="s">
        <v>29</v>
      </c>
    </row>
    <row r="8" spans="1:4">
      <c r="B8" t="s">
        <v>30</v>
      </c>
      <c r="D8" t="s">
        <v>31</v>
      </c>
    </row>
    <row r="9" spans="1:4">
      <c r="D9" t="s">
        <v>32</v>
      </c>
    </row>
    <row r="10" spans="1:4">
      <c r="D10" t="s">
        <v>11</v>
      </c>
    </row>
    <row r="11" spans="1:4">
      <c r="D11" t="s">
        <v>33</v>
      </c>
    </row>
  </sheetData>
  <pageMargins left="0.75" right="0.75" top="1" bottom="1" header="0.5" footer="0.5"/>
</worksheet>
</file>

<file path=docMetadata/LabelInfo.xml><?xml version="1.0" encoding="utf-8"?>
<clbl:labelList xmlns:clbl="http://schemas.microsoft.com/office/2020/mipLabelMetadata">
  <clbl:label id="{ce60bcce-d4df-47e1-9234-cfe82b789499}" enabled="1" method="Standard" siteId="{4494342c-10c2-46ae-a60c-c172122e8b0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Machine Issue List</vt:lpstr>
      <vt:lpstr>Lists</vt:lpstr>
      <vt:lpstr>'Machine Issue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Muhamad Zulhilmi Samsuddin</dc:creator>
  <cp:keywords/>
  <dc:description/>
  <cp:lastModifiedBy>Muhammad 'Amirul Fadhli Bin Mohamad Fuzi</cp:lastModifiedBy>
  <cp:revision/>
  <dcterms:created xsi:type="dcterms:W3CDTF">2026-09-24T09:15:37Z</dcterms:created>
  <dcterms:modified xsi:type="dcterms:W3CDTF">2026-10-14T06:32:46Z</dcterms:modified>
  <cp:category/>
  <cp:contentStatus/>
</cp:coreProperties>
</file>